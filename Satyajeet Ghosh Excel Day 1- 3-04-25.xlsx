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<sst xmlns="http://schemas.openxmlformats.org/spreadsheetml/2006/main" count="49" uniqueCount="43">
  <si>
    <t>name</t>
  </si>
  <si>
    <t xml:space="preserve">English </t>
  </si>
  <si>
    <t>Math</t>
  </si>
  <si>
    <t>L.T.</t>
  </si>
  <si>
    <t>Data visualization</t>
  </si>
  <si>
    <t>Python</t>
  </si>
  <si>
    <t>Total</t>
  </si>
  <si>
    <t>Percentage</t>
  </si>
  <si>
    <t>Result</t>
  </si>
  <si>
    <t>Grade using if</t>
  </si>
  <si>
    <t xml:space="preserve">Grade using absolute </t>
  </si>
  <si>
    <t xml:space="preserve">Abhishek </t>
  </si>
  <si>
    <t xml:space="preserve">Satyajeet </t>
  </si>
  <si>
    <t>Ram</t>
  </si>
  <si>
    <t xml:space="preserve">Rajesh </t>
  </si>
  <si>
    <t>Kapil</t>
  </si>
  <si>
    <t>raju</t>
  </si>
  <si>
    <t>ambika</t>
  </si>
  <si>
    <t>saloni</t>
  </si>
  <si>
    <t>sukesh</t>
  </si>
  <si>
    <t>ravi</t>
  </si>
  <si>
    <t>Product</t>
  </si>
  <si>
    <t>Price</t>
  </si>
  <si>
    <t>GST</t>
  </si>
  <si>
    <t>GST Scale</t>
  </si>
  <si>
    <t>A</t>
  </si>
  <si>
    <t>product price</t>
  </si>
  <si>
    <t>B</t>
  </si>
  <si>
    <t>Grade system</t>
  </si>
  <si>
    <t>C</t>
  </si>
  <si>
    <t>Range</t>
  </si>
  <si>
    <t>Grade</t>
  </si>
  <si>
    <t>D</t>
  </si>
  <si>
    <t>&gt;=90</t>
  </si>
  <si>
    <t>E</t>
  </si>
  <si>
    <t>&gt;=80</t>
  </si>
  <si>
    <t>B+</t>
  </si>
  <si>
    <t>&gt;=70</t>
  </si>
  <si>
    <t>&gt;=60</t>
  </si>
  <si>
    <t>&gt;=50</t>
  </si>
  <si>
    <t>&gt;=40</t>
  </si>
  <si>
    <t>&lt;40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</si>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</sst>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9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4" width="12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  <c r="M1" s="2"/>
      <c r="N1" s="2"/>
    </row>
    <row r="2" ht="15.75" customHeight="1">
      <c r="A2" s="1" t="s">
        <v>11</v>
      </c>
      <c r="B2" s="1">
        <v>99.0</v>
      </c>
      <c r="C2" s="1">
        <v>99.0</v>
      </c>
      <c r="D2" s="1">
        <v>99.0</v>
      </c>
      <c r="E2" s="1">
        <v>96.0</v>
      </c>
      <c r="F2" s="1">
        <v>99.0</v>
      </c>
      <c r="G2" s="1" t="str">
        <f t="shared" ref="G2:G11" si="1">sum(B2,C2,D2,E2,F2)</f>
        <v>492</v>
      </c>
      <c r="H2" s="1" t="str">
        <f t="shared" ref="H2:H11" si="2">G2/5</f>
        <v>98.4</v>
      </c>
      <c r="I2" s="1" t="str">
        <f t="shared" ref="I2:I11" si="3">if(H2&gt;=50,"pass","fail")</f>
        <v>pass</v>
      </c>
      <c r="J2" s="1" t="str">
        <f t="shared" ref="J2:J11" si="4">if(H2&gt;=90,"A",if(H2&gt;=80,"B+",if(H2&gt;=70,"B",if(H2&gt;=60,"C",if(H2&gt;=50,"D",if(H2&gt;=40,"E",if(H2&lt;40,"F")))))))</f>
        <v>A</v>
      </c>
      <c r="K2" s="2" t="str">
        <f t="shared" ref="K2:K11" si="5">if(H2&gt;=value(right($K$17,len($K$17)-2)),$L$17,if(H2&gt;=value(right($K$18,len($K$18)-2)),$L$18,if(H2&gt;=value(right($K$19,len($K$19)-2)),$L$19,if(H2&gt;=value(right($K$20,len($K$20)-2)),$L$20,if(H2&gt;=value(right($K$21,len($K$21)-2)),$L$21,if(H2&gt;=value(right($K$22,len($K$22)-2)),$L$22,if(H2&lt;value(right($K$23,len($K$23)-1)),$L$23)))))))</f>
        <v>A</v>
      </c>
      <c r="L2" s="2"/>
      <c r="M2" s="2"/>
    </row>
    <row r="3" ht="15.75" customHeight="1">
      <c r="A3" s="1" t="s">
        <v>12</v>
      </c>
      <c r="B3" s="1">
        <v>96.0</v>
      </c>
      <c r="C3" s="1">
        <v>95.0</v>
      </c>
      <c r="D3" s="1">
        <v>98.0</v>
      </c>
      <c r="E3" s="1">
        <v>68.0</v>
      </c>
      <c r="F3" s="1">
        <v>93.0</v>
      </c>
      <c r="G3" s="1" t="str">
        <f t="shared" si="1"/>
        <v>450</v>
      </c>
      <c r="H3" s="1" t="str">
        <f t="shared" si="2"/>
        <v>90</v>
      </c>
      <c r="I3" s="1" t="str">
        <f t="shared" si="3"/>
        <v>pass</v>
      </c>
      <c r="J3" s="1" t="str">
        <f t="shared" si="4"/>
        <v>A</v>
      </c>
      <c r="K3" s="2" t="str">
        <f t="shared" si="5"/>
        <v>A</v>
      </c>
      <c r="L3" s="2"/>
      <c r="M3" s="2"/>
    </row>
    <row r="4" ht="15.75" customHeight="1">
      <c r="A4" s="1" t="s">
        <v>13</v>
      </c>
      <c r="B4" s="1">
        <v>56.0</v>
      </c>
      <c r="C4" s="1">
        <v>85.0</v>
      </c>
      <c r="D4" s="1">
        <v>77.0</v>
      </c>
      <c r="E4" s="1">
        <v>10.0</v>
      </c>
      <c r="F4" s="1">
        <v>10.0</v>
      </c>
      <c r="G4" s="1" t="str">
        <f t="shared" si="1"/>
        <v>238</v>
      </c>
      <c r="H4" s="1" t="str">
        <f t="shared" si="2"/>
        <v>47.6</v>
      </c>
      <c r="I4" s="1" t="str">
        <f t="shared" si="3"/>
        <v>fail</v>
      </c>
      <c r="J4" s="1" t="str">
        <f t="shared" si="4"/>
        <v>E</v>
      </c>
      <c r="K4" s="2" t="str">
        <f t="shared" si="5"/>
        <v>E</v>
      </c>
      <c r="L4" s="2"/>
      <c r="M4" s="2"/>
    </row>
    <row r="5" ht="15.75" customHeight="1">
      <c r="A5" s="1" t="s">
        <v>14</v>
      </c>
      <c r="B5" s="1">
        <v>68.0</v>
      </c>
      <c r="C5" s="1">
        <v>78.0</v>
      </c>
      <c r="D5" s="1">
        <v>86.0</v>
      </c>
      <c r="E5" s="1">
        <v>91.0</v>
      </c>
      <c r="F5" s="1">
        <v>83.0</v>
      </c>
      <c r="G5" s="1" t="str">
        <f t="shared" si="1"/>
        <v>406</v>
      </c>
      <c r="H5" s="1" t="str">
        <f t="shared" si="2"/>
        <v>81.2</v>
      </c>
      <c r="I5" s="1" t="str">
        <f t="shared" si="3"/>
        <v>pass</v>
      </c>
      <c r="J5" s="1" t="str">
        <f t="shared" si="4"/>
        <v>B+</v>
      </c>
      <c r="K5" s="2" t="str">
        <f t="shared" si="5"/>
        <v>B+</v>
      </c>
      <c r="L5" s="2"/>
      <c r="M5" s="2"/>
    </row>
    <row r="6" ht="15.75" customHeight="1">
      <c r="A6" s="1" t="s">
        <v>15</v>
      </c>
      <c r="B6" s="1">
        <v>87.0</v>
      </c>
      <c r="C6" s="1">
        <v>65.0</v>
      </c>
      <c r="D6" s="1">
        <v>91.0</v>
      </c>
      <c r="E6" s="1">
        <v>65.0</v>
      </c>
      <c r="F6" s="1">
        <v>84.0</v>
      </c>
      <c r="G6" s="1" t="str">
        <f t="shared" si="1"/>
        <v>392</v>
      </c>
      <c r="H6" s="1" t="str">
        <f t="shared" si="2"/>
        <v>78.4</v>
      </c>
      <c r="I6" s="1" t="str">
        <f t="shared" si="3"/>
        <v>pass</v>
      </c>
      <c r="J6" s="1" t="str">
        <f t="shared" si="4"/>
        <v>B</v>
      </c>
      <c r="K6" s="2" t="str">
        <f t="shared" si="5"/>
        <v>B</v>
      </c>
      <c r="L6" s="2"/>
      <c r="M6" s="2"/>
    </row>
    <row r="7" ht="15.75" customHeight="1">
      <c r="A7" s="1" t="s">
        <v>16</v>
      </c>
      <c r="B7" s="1">
        <v>87.0</v>
      </c>
      <c r="C7" s="1">
        <v>20.0</v>
      </c>
      <c r="D7" s="1">
        <v>57.0</v>
      </c>
      <c r="E7" s="1">
        <v>20.0</v>
      </c>
      <c r="F7" s="1">
        <v>89.0</v>
      </c>
      <c r="G7" s="1" t="str">
        <f t="shared" si="1"/>
        <v>273</v>
      </c>
      <c r="H7" s="1" t="str">
        <f t="shared" si="2"/>
        <v>54.6</v>
      </c>
      <c r="I7" s="1" t="str">
        <f t="shared" si="3"/>
        <v>pass</v>
      </c>
      <c r="J7" s="1" t="str">
        <f t="shared" si="4"/>
        <v>D</v>
      </c>
      <c r="K7" s="2" t="str">
        <f t="shared" si="5"/>
        <v>D</v>
      </c>
      <c r="L7" s="2"/>
      <c r="M7" s="2"/>
    </row>
    <row r="8" ht="15.75" customHeight="1">
      <c r="A8" s="1" t="s">
        <v>17</v>
      </c>
      <c r="B8" s="1">
        <v>76.0</v>
      </c>
      <c r="C8" s="1">
        <v>79.0</v>
      </c>
      <c r="D8" s="1">
        <v>30.0</v>
      </c>
      <c r="E8" s="1">
        <v>68.0</v>
      </c>
      <c r="F8" s="1">
        <v>78.0</v>
      </c>
      <c r="G8" s="1" t="str">
        <f t="shared" si="1"/>
        <v>331</v>
      </c>
      <c r="H8" s="1" t="str">
        <f t="shared" si="2"/>
        <v>66.2</v>
      </c>
      <c r="I8" s="1" t="str">
        <f t="shared" si="3"/>
        <v>pass</v>
      </c>
      <c r="J8" s="1" t="str">
        <f t="shared" si="4"/>
        <v>C</v>
      </c>
      <c r="K8" s="2" t="str">
        <f t="shared" si="5"/>
        <v>C</v>
      </c>
      <c r="L8" s="2"/>
      <c r="M8" s="2"/>
    </row>
    <row r="9" ht="15.75" customHeight="1">
      <c r="A9" s="1" t="s">
        <v>18</v>
      </c>
      <c r="B9" s="1">
        <v>20.0</v>
      </c>
      <c r="C9" s="1">
        <v>20.0</v>
      </c>
      <c r="D9" s="1">
        <v>20.0</v>
      </c>
      <c r="E9" s="1">
        <v>20.0</v>
      </c>
      <c r="F9" s="1">
        <v>20.0</v>
      </c>
      <c r="G9" s="1" t="str">
        <f t="shared" si="1"/>
        <v>100</v>
      </c>
      <c r="H9" s="1" t="str">
        <f t="shared" si="2"/>
        <v>20</v>
      </c>
      <c r="I9" s="1" t="str">
        <f t="shared" si="3"/>
        <v>fail</v>
      </c>
      <c r="J9" s="1" t="str">
        <f t="shared" si="4"/>
        <v>F</v>
      </c>
      <c r="K9" s="2" t="str">
        <f t="shared" si="5"/>
        <v>F</v>
      </c>
      <c r="L9" s="2"/>
      <c r="M9" s="2"/>
    </row>
    <row r="10" ht="15.75" customHeight="1">
      <c r="A10" s="1" t="s">
        <v>19</v>
      </c>
      <c r="B10" s="1">
        <v>68.0</v>
      </c>
      <c r="C10" s="1">
        <v>78.0</v>
      </c>
      <c r="D10" s="1">
        <v>86.0</v>
      </c>
      <c r="E10" s="1">
        <v>91.0</v>
      </c>
      <c r="F10" s="1">
        <v>83.0</v>
      </c>
      <c r="G10" s="1" t="str">
        <f t="shared" si="1"/>
        <v>406</v>
      </c>
      <c r="H10" s="1" t="str">
        <f t="shared" si="2"/>
        <v>81.2</v>
      </c>
      <c r="I10" s="1" t="str">
        <f t="shared" si="3"/>
        <v>pass</v>
      </c>
      <c r="J10" s="1" t="str">
        <f t="shared" si="4"/>
        <v>B+</v>
      </c>
      <c r="K10" s="2" t="str">
        <f t="shared" si="5"/>
        <v>B+</v>
      </c>
      <c r="L10" s="2"/>
      <c r="M10" s="2"/>
    </row>
    <row r="11" ht="15.75" customHeight="1">
      <c r="A11" s="1" t="s">
        <v>20</v>
      </c>
      <c r="B11" s="1">
        <v>87.0</v>
      </c>
      <c r="C11" s="1">
        <v>65.0</v>
      </c>
      <c r="D11" s="1">
        <v>91.0</v>
      </c>
      <c r="E11" s="1">
        <v>65.0</v>
      </c>
      <c r="F11" s="1">
        <v>84.0</v>
      </c>
      <c r="G11" s="1" t="str">
        <f t="shared" si="1"/>
        <v>392</v>
      </c>
      <c r="H11" s="1" t="str">
        <f t="shared" si="2"/>
        <v>78.4</v>
      </c>
      <c r="I11" s="1" t="str">
        <f t="shared" si="3"/>
        <v>pass</v>
      </c>
      <c r="J11" s="1" t="str">
        <f t="shared" si="4"/>
        <v>B</v>
      </c>
      <c r="K11" s="2" t="str">
        <f t="shared" si="5"/>
        <v>B</v>
      </c>
      <c r="L11" s="2"/>
      <c r="M11" s="2"/>
    </row>
    <row r="12" ht="15.75" customHeight="1"/>
    <row r="13" ht="15.75" customHeight="1">
      <c r="A13" s="1" t="s">
        <v>21</v>
      </c>
      <c r="B13" s="1" t="s">
        <v>22</v>
      </c>
      <c r="C13" s="1" t="s">
        <v>23</v>
      </c>
      <c r="E13" s="1" t="s">
        <v>24</v>
      </c>
    </row>
    <row r="14" ht="15.75" customHeight="1">
      <c r="A14" s="1" t="s">
        <v>25</v>
      </c>
      <c r="B14" s="1">
        <v>1000.0</v>
      </c>
      <c r="C14" s="1" t="str">
        <f t="shared" ref="C14:C18" si="6">if(B14&gt;=$E$17,B14*$F$17,if(B14&gt;=$E$16,B14*$F$16,if(B14&gt;=$E$15,B14*$F$15)))</f>
        <v>150</v>
      </c>
      <c r="E14" s="1" t="s">
        <v>26</v>
      </c>
      <c r="F14" s="1" t="s">
        <v>23</v>
      </c>
    </row>
    <row r="15" ht="15.75" customHeight="1">
      <c r="A15" s="1" t="s">
        <v>27</v>
      </c>
      <c r="B15" s="1">
        <v>8000.0</v>
      </c>
      <c r="C15" s="1" t="str">
        <f t="shared" si="6"/>
        <v>400</v>
      </c>
      <c r="E15" s="1">
        <v>500.0</v>
      </c>
      <c r="F15" s="3">
        <v>0.18</v>
      </c>
      <c r="J15" s="2"/>
      <c r="K15" s="2" t="s">
        <v>28</v>
      </c>
    </row>
    <row r="16" ht="15.75" customHeight="1">
      <c r="A16" s="1" t="s">
        <v>29</v>
      </c>
      <c r="B16" s="1">
        <v>500.0</v>
      </c>
      <c r="C16" s="1" t="str">
        <f t="shared" si="6"/>
        <v>90</v>
      </c>
      <c r="E16" s="1">
        <v>1000.0</v>
      </c>
      <c r="F16" s="3">
        <v>0.15</v>
      </c>
      <c r="K16" s="2" t="s">
        <v>30</v>
      </c>
      <c r="L16" s="2" t="s">
        <v>31</v>
      </c>
    </row>
    <row r="17" ht="15.75" customHeight="1">
      <c r="A17" s="1" t="s">
        <v>32</v>
      </c>
      <c r="B17" s="1">
        <v>690.0</v>
      </c>
      <c r="C17" s="1" t="str">
        <f t="shared" si="6"/>
        <v>124.2</v>
      </c>
      <c r="E17" s="1">
        <v>5000.0</v>
      </c>
      <c r="F17" s="3">
        <v>0.05</v>
      </c>
      <c r="K17" s="4" t="s">
        <v>33</v>
      </c>
      <c r="L17" s="2" t="s">
        <v>25</v>
      </c>
    </row>
    <row r="18" ht="15.75" customHeight="1">
      <c r="A18" s="1" t="s">
        <v>34</v>
      </c>
      <c r="B18" s="1">
        <v>1580.0</v>
      </c>
      <c r="C18" s="1" t="str">
        <f t="shared" si="6"/>
        <v>237</v>
      </c>
      <c r="K18" s="2" t="s">
        <v>35</v>
      </c>
      <c r="L18" s="2" t="s">
        <v>36</v>
      </c>
    </row>
    <row r="19" ht="15.75" customHeight="1">
      <c r="K19" s="2" t="s">
        <v>37</v>
      </c>
      <c r="L19" s="4" t="s">
        <v>27</v>
      </c>
    </row>
    <row r="20" ht="15.75" customHeight="1">
      <c r="K20" s="2" t="s">
        <v>38</v>
      </c>
      <c r="L20" s="2" t="s">
        <v>29</v>
      </c>
    </row>
    <row r="21" ht="15.75" customHeight="1">
      <c r="K21" s="2" t="s">
        <v>39</v>
      </c>
      <c r="L21" s="2" t="s">
        <v>32</v>
      </c>
    </row>
    <row r="22" ht="15.75" customHeight="1">
      <c r="K22" s="2" t="s">
        <v>40</v>
      </c>
      <c r="L22" s="2" t="s">
        <v>34</v>
      </c>
    </row>
    <row r="23" ht="15.75" customHeight="1">
      <c r="I23" s="4"/>
      <c r="K23" s="2" t="s">
        <v>41</v>
      </c>
      <c r="L23" s="2" t="s">
        <v>42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